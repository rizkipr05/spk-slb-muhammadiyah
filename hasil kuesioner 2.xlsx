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ugas\Skripsi gweh\data SLB\"/>
    </mc:Choice>
  </mc:AlternateContent>
  <xr:revisionPtr revIDLastSave="0" documentId="13_ncr:1_{4B996DD7-29D8-44A9-BD7E-B0E9EBFEB93C}" xr6:coauthVersionLast="47" xr6:coauthVersionMax="47" xr10:uidLastSave="{00000000-0000-0000-0000-000000000000}"/>
  <bookViews>
    <workbookView xWindow="-110" yWindow="-110" windowWidth="19420" windowHeight="11020" activeTab="1" xr2:uid="{86956090-50AA-4578-B1D3-E26CAA3C16AD}"/>
  </bookViews>
  <sheets>
    <sheet name="Rincian Responden" sheetId="2" r:id="rId1"/>
    <sheet name="Normalisasi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8" i="1" l="1"/>
  <c r="S2" i="2"/>
  <c r="S3" i="2"/>
  <c r="S4" i="2"/>
  <c r="S5" i="2"/>
  <c r="S6" i="2"/>
  <c r="S7" i="2"/>
  <c r="S8" i="2"/>
  <c r="S9" i="2"/>
  <c r="S10" i="2"/>
  <c r="S11" i="2"/>
  <c r="R3" i="2"/>
  <c r="R4" i="2"/>
  <c r="R5" i="2"/>
  <c r="R6" i="2"/>
  <c r="R7" i="2"/>
  <c r="R8" i="2"/>
  <c r="R9" i="2"/>
  <c r="R10" i="2"/>
  <c r="R11" i="2"/>
  <c r="R2" i="2"/>
  <c r="E7" i="1"/>
  <c r="D7" i="1"/>
  <c r="D6" i="1"/>
  <c r="C7" i="1"/>
  <c r="C6" i="1"/>
  <c r="C5" i="1"/>
  <c r="B7" i="1"/>
  <c r="B6" i="1"/>
  <c r="B5" i="1"/>
  <c r="B4" i="1"/>
  <c r="E8" i="1" l="1"/>
  <c r="E15" i="1" s="1"/>
  <c r="F8" i="1"/>
  <c r="F13" i="1" s="1"/>
  <c r="B8" i="1" l="1"/>
  <c r="B17" i="1" s="1"/>
  <c r="D8" i="1"/>
  <c r="D15" i="1" s="1"/>
  <c r="F14" i="1"/>
  <c r="C8" i="1"/>
  <c r="C17" i="1" s="1"/>
  <c r="F15" i="1"/>
  <c r="E13" i="1"/>
  <c r="F16" i="1"/>
  <c r="F17" i="1"/>
  <c r="E16" i="1"/>
  <c r="E17" i="1"/>
  <c r="E14" i="1"/>
  <c r="B15" i="1" l="1"/>
  <c r="B14" i="1"/>
  <c r="B16" i="1"/>
  <c r="B13" i="1"/>
  <c r="C15" i="1"/>
  <c r="C13" i="1"/>
  <c r="C14" i="1"/>
  <c r="C16" i="1"/>
  <c r="D17" i="1"/>
  <c r="G17" i="1" s="1"/>
  <c r="H17" i="1" s="1"/>
  <c r="F24" i="1" s="1"/>
  <c r="D13" i="1"/>
  <c r="D14" i="1"/>
  <c r="D16" i="1"/>
  <c r="G15" i="1" l="1"/>
  <c r="H15" i="1" s="1"/>
  <c r="G14" i="1"/>
  <c r="H14" i="1" s="1"/>
  <c r="C22" i="1" s="1"/>
  <c r="G16" i="1"/>
  <c r="H16" i="1" s="1"/>
  <c r="E22" i="1" s="1"/>
  <c r="G13" i="1"/>
  <c r="H13" i="1" s="1"/>
  <c r="B26" i="1" s="1"/>
  <c r="F23" i="1"/>
  <c r="F22" i="1"/>
  <c r="F26" i="1"/>
  <c r="F25" i="1"/>
  <c r="C35" i="1"/>
  <c r="C26" i="1" l="1"/>
  <c r="C33" i="1"/>
  <c r="C32" i="1"/>
  <c r="C23" i="1"/>
  <c r="C24" i="1"/>
  <c r="C25" i="1"/>
  <c r="E23" i="1"/>
  <c r="E24" i="1"/>
  <c r="C34" i="1"/>
  <c r="E25" i="1"/>
  <c r="E26" i="1"/>
  <c r="B24" i="1"/>
  <c r="B25" i="1"/>
  <c r="B22" i="1"/>
  <c r="B23" i="1"/>
  <c r="D23" i="1"/>
  <c r="D24" i="1"/>
  <c r="D25" i="1"/>
  <c r="D26" i="1"/>
  <c r="D22" i="1"/>
  <c r="G22" i="1" l="1"/>
  <c r="B31" i="1"/>
  <c r="G25" i="1"/>
  <c r="B34" i="1"/>
  <c r="D34" i="1" s="1"/>
  <c r="B33" i="1"/>
  <c r="D33" i="1" s="1"/>
  <c r="G24" i="1"/>
  <c r="G26" i="1"/>
  <c r="B35" i="1"/>
  <c r="D35" i="1" s="1"/>
  <c r="G23" i="1"/>
  <c r="B32" i="1"/>
  <c r="D32" i="1" s="1"/>
  <c r="C31" i="1" l="1"/>
  <c r="D31" i="1" l="1"/>
  <c r="D36" i="1" s="1"/>
  <c r="B38" i="1" s="1"/>
  <c r="B39" i="1" s="1"/>
  <c r="B40" i="1" s="1"/>
  <c r="C36" i="1"/>
</calcChain>
</file>

<file path=xl/sharedStrings.xml><?xml version="1.0" encoding="utf-8"?>
<sst xmlns="http://schemas.openxmlformats.org/spreadsheetml/2006/main" count="69" uniqueCount="32">
  <si>
    <t>1. Menghitung Matriks perbandingan Berpasangan</t>
  </si>
  <si>
    <t>Kriteria</t>
  </si>
  <si>
    <t>JKK</t>
  </si>
  <si>
    <t>KA</t>
  </si>
  <si>
    <t>KK</t>
  </si>
  <si>
    <t>KS</t>
  </si>
  <si>
    <t>KSO</t>
  </si>
  <si>
    <t>Jumlah kriteria</t>
  </si>
  <si>
    <t>Jumlah</t>
  </si>
  <si>
    <t>2. Menghitung Matriks nilai Kriteria atau Normalisasi</t>
  </si>
  <si>
    <t>Prioritas</t>
  </si>
  <si>
    <t>3. Menghitung Matriks Penjumlahan setiap Baris</t>
  </si>
  <si>
    <t>4. Menghitung Rasio Konsistensi</t>
  </si>
  <si>
    <t>Jumlah perbaris</t>
  </si>
  <si>
    <t>Hasil</t>
  </si>
  <si>
    <t>Lamda Max</t>
  </si>
  <si>
    <t>CI</t>
  </si>
  <si>
    <t>CR</t>
  </si>
  <si>
    <t>No</t>
  </si>
  <si>
    <t>Perbandingan</t>
  </si>
  <si>
    <t>Total</t>
  </si>
  <si>
    <t>JKK - KA</t>
  </si>
  <si>
    <t>JKK - KK</t>
  </si>
  <si>
    <t>JKK-KS</t>
  </si>
  <si>
    <t>JKK-KSO</t>
  </si>
  <si>
    <t>KA-KK</t>
  </si>
  <si>
    <t>KA-KS</t>
  </si>
  <si>
    <t>KA-KSO</t>
  </si>
  <si>
    <t>KK-KS</t>
  </si>
  <si>
    <t>KK-KSO</t>
  </si>
  <si>
    <t>KS-KSO</t>
  </si>
  <si>
    <t>Total/n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</si>
</sst>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9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9FAFC"/>
        <bgColor rgb="FFF9FAFC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6" xfId="0" applyBorder="1"/>
    <xf numFmtId="0" fontId="2" fillId="0" borderId="1" xfId="0" applyFont="1" applyBorder="1"/>
    <xf numFmtId="0" fontId="1" fillId="0" borderId="0" xfId="0" applyFont="1" applyAlignment="1">
      <alignment vertical="center"/>
    </xf>
    <xf numFmtId="0" fontId="1" fillId="0" borderId="1" xfId="0" applyFont="1" applyBorder="1"/>
    <xf numFmtId="10" fontId="2" fillId="0" borderId="1" xfId="1" applyNumberFormat="1" applyFont="1" applyBorder="1" applyAlignment="1">
      <alignment horizontal="center"/>
    </xf>
    <xf numFmtId="10" fontId="0" fillId="0" borderId="0" xfId="0" applyNumberFormat="1"/>
    <xf numFmtId="10" fontId="2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0" xfId="0" applyBorder="1"/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69" fontId="2" fillId="0" borderId="1" xfId="0" applyNumberFormat="1" applyFont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BB17D-5B16-4859-9D11-194B650CB416}">
  <dimension ref="A1:T14"/>
  <sheetViews>
    <sheetView workbookViewId="0">
      <selection activeCell="M13" sqref="M13"/>
    </sheetView>
  </sheetViews>
  <sheetFormatPr defaultRowHeight="14.5" x14ac:dyDescent="0.35"/>
  <cols>
    <col min="1" max="1" width="3.453125" bestFit="1" customWidth="1"/>
    <col min="2" max="2" width="13.81640625" bestFit="1" customWidth="1"/>
    <col min="3" max="17" width="4.1796875" customWidth="1"/>
    <col min="18" max="18" width="16.6328125" customWidth="1"/>
  </cols>
  <sheetData>
    <row r="1" spans="1:20" ht="20" customHeight="1" x14ac:dyDescent="0.35">
      <c r="A1" s="16" t="s">
        <v>18</v>
      </c>
      <c r="B1" s="16" t="s">
        <v>19</v>
      </c>
      <c r="C1" s="16">
        <v>1</v>
      </c>
      <c r="D1" s="16">
        <v>2</v>
      </c>
      <c r="E1" s="16">
        <v>3</v>
      </c>
      <c r="F1" s="16">
        <v>4</v>
      </c>
      <c r="G1" s="16">
        <v>5</v>
      </c>
      <c r="H1" s="16">
        <v>6</v>
      </c>
      <c r="I1" s="16">
        <v>7</v>
      </c>
      <c r="J1" s="16">
        <v>8</v>
      </c>
      <c r="K1" s="16">
        <v>9</v>
      </c>
      <c r="L1" s="16">
        <v>10</v>
      </c>
      <c r="M1" s="16">
        <v>11</v>
      </c>
      <c r="N1" s="16">
        <v>12</v>
      </c>
      <c r="O1" s="16">
        <v>13</v>
      </c>
      <c r="P1" s="16">
        <v>14</v>
      </c>
      <c r="Q1" s="16">
        <v>15</v>
      </c>
      <c r="R1" s="2" t="s">
        <v>20</v>
      </c>
      <c r="S1" s="2" t="s">
        <v>31</v>
      </c>
    </row>
    <row r="2" spans="1:20" ht="20" customHeight="1" x14ac:dyDescent="0.35">
      <c r="A2" s="2">
        <v>1</v>
      </c>
      <c r="B2" s="2" t="s">
        <v>21</v>
      </c>
      <c r="C2" s="22">
        <v>2</v>
      </c>
      <c r="D2" s="22">
        <v>2</v>
      </c>
      <c r="E2" s="22">
        <v>1</v>
      </c>
      <c r="F2" s="22">
        <v>2</v>
      </c>
      <c r="G2" s="22">
        <v>3</v>
      </c>
      <c r="H2" s="22">
        <v>2</v>
      </c>
      <c r="I2" s="22">
        <v>1</v>
      </c>
      <c r="J2" s="22">
        <v>2</v>
      </c>
      <c r="K2" s="22">
        <v>2</v>
      </c>
      <c r="L2" s="2">
        <v>2</v>
      </c>
      <c r="M2" s="2">
        <v>2</v>
      </c>
      <c r="N2" s="2">
        <v>1</v>
      </c>
      <c r="O2" s="2">
        <v>2</v>
      </c>
      <c r="P2" s="2">
        <v>3</v>
      </c>
      <c r="Q2" s="2">
        <v>2</v>
      </c>
      <c r="R2" s="24">
        <f>C2*D2*E2*F2*G2*H2*I2*J2*K2*L2*M2*N2*O2*P2*Q2</f>
        <v>9216</v>
      </c>
      <c r="S2" s="7">
        <f>R2^(1/15)</f>
        <v>1.8378193976728823</v>
      </c>
      <c r="T2" s="28"/>
    </row>
    <row r="3" spans="1:20" ht="20" customHeight="1" x14ac:dyDescent="0.35">
      <c r="A3" s="2">
        <v>2</v>
      </c>
      <c r="B3" s="2" t="s">
        <v>22</v>
      </c>
      <c r="C3" s="23">
        <v>3</v>
      </c>
      <c r="D3" s="23">
        <v>2</v>
      </c>
      <c r="E3" s="23">
        <v>3</v>
      </c>
      <c r="F3" s="23">
        <v>2</v>
      </c>
      <c r="G3" s="23">
        <v>3</v>
      </c>
      <c r="H3" s="23">
        <v>2</v>
      </c>
      <c r="I3" s="23">
        <v>2</v>
      </c>
      <c r="J3" s="23">
        <v>3</v>
      </c>
      <c r="K3" s="23">
        <v>2</v>
      </c>
      <c r="L3" s="2">
        <v>3</v>
      </c>
      <c r="M3" s="2">
        <v>2</v>
      </c>
      <c r="N3" s="2">
        <v>3</v>
      </c>
      <c r="O3" s="2">
        <v>2</v>
      </c>
      <c r="P3" s="2">
        <v>3</v>
      </c>
      <c r="Q3" s="2">
        <v>2</v>
      </c>
      <c r="R3" s="24">
        <f t="shared" ref="R3:R11" si="0">C3*D3*E3*F3*G3*H3*I3*J3*K3*L3*M3*N3*O3*P3*Q3</f>
        <v>559872</v>
      </c>
      <c r="S3" s="7">
        <f t="shared" ref="S3:S11" si="1">R3^(1/15)</f>
        <v>2.416606373547677</v>
      </c>
      <c r="T3" s="28"/>
    </row>
    <row r="4" spans="1:20" ht="20" customHeight="1" x14ac:dyDescent="0.35">
      <c r="A4" s="2">
        <v>3</v>
      </c>
      <c r="B4" s="2" t="s">
        <v>23</v>
      </c>
      <c r="C4" s="22">
        <v>5</v>
      </c>
      <c r="D4" s="22">
        <v>4</v>
      </c>
      <c r="E4" s="22">
        <v>4</v>
      </c>
      <c r="F4" s="22">
        <v>5</v>
      </c>
      <c r="G4" s="22">
        <v>4</v>
      </c>
      <c r="H4" s="22">
        <v>4</v>
      </c>
      <c r="I4" s="22">
        <v>5</v>
      </c>
      <c r="J4" s="22">
        <v>4</v>
      </c>
      <c r="K4" s="22">
        <v>5</v>
      </c>
      <c r="L4" s="2">
        <v>4</v>
      </c>
      <c r="M4" s="2">
        <v>4</v>
      </c>
      <c r="N4" s="2">
        <v>5</v>
      </c>
      <c r="O4" s="2">
        <v>4</v>
      </c>
      <c r="P4" s="2">
        <v>4</v>
      </c>
      <c r="Q4" s="2">
        <v>5</v>
      </c>
      <c r="R4" s="24">
        <f t="shared" si="0"/>
        <v>4096000000</v>
      </c>
      <c r="S4" s="7">
        <f t="shared" si="1"/>
        <v>4.3734482957731124</v>
      </c>
      <c r="T4" s="28"/>
    </row>
    <row r="5" spans="1:20" ht="20" customHeight="1" x14ac:dyDescent="0.35">
      <c r="A5" s="2">
        <v>4</v>
      </c>
      <c r="B5" s="2" t="s">
        <v>24</v>
      </c>
      <c r="C5" s="23">
        <v>6</v>
      </c>
      <c r="D5" s="23">
        <v>5</v>
      </c>
      <c r="E5" s="23">
        <v>6</v>
      </c>
      <c r="F5" s="23">
        <v>5</v>
      </c>
      <c r="G5" s="23">
        <v>6</v>
      </c>
      <c r="H5" s="23">
        <v>6</v>
      </c>
      <c r="I5" s="23">
        <v>5</v>
      </c>
      <c r="J5" s="23">
        <v>5</v>
      </c>
      <c r="K5" s="23">
        <v>6</v>
      </c>
      <c r="L5" s="2">
        <v>5</v>
      </c>
      <c r="M5" s="2">
        <v>6</v>
      </c>
      <c r="N5" s="2">
        <v>5</v>
      </c>
      <c r="O5" s="2">
        <v>6</v>
      </c>
      <c r="P5" s="2">
        <v>5</v>
      </c>
      <c r="Q5" s="2">
        <v>6</v>
      </c>
      <c r="R5" s="24">
        <f t="shared" si="0"/>
        <v>131220000000</v>
      </c>
      <c r="S5" s="7">
        <f t="shared" si="1"/>
        <v>5.5106141396620716</v>
      </c>
      <c r="T5" s="26"/>
    </row>
    <row r="6" spans="1:20" ht="20" customHeight="1" x14ac:dyDescent="0.35">
      <c r="A6" s="2">
        <v>5</v>
      </c>
      <c r="B6" s="2" t="s">
        <v>25</v>
      </c>
      <c r="C6" s="22">
        <v>2</v>
      </c>
      <c r="D6" s="22">
        <v>1</v>
      </c>
      <c r="E6" s="22">
        <v>2</v>
      </c>
      <c r="F6" s="22">
        <v>1</v>
      </c>
      <c r="G6" s="22">
        <v>1</v>
      </c>
      <c r="H6" s="22">
        <v>2</v>
      </c>
      <c r="I6" s="22">
        <v>1</v>
      </c>
      <c r="J6" s="22">
        <v>2</v>
      </c>
      <c r="K6" s="22">
        <v>1</v>
      </c>
      <c r="L6" s="2">
        <v>2</v>
      </c>
      <c r="M6" s="2">
        <v>1</v>
      </c>
      <c r="N6" s="2">
        <v>2</v>
      </c>
      <c r="O6" s="2">
        <v>1</v>
      </c>
      <c r="P6" s="2">
        <v>2</v>
      </c>
      <c r="Q6" s="2">
        <v>1</v>
      </c>
      <c r="R6" s="24">
        <f t="shared" si="0"/>
        <v>128</v>
      </c>
      <c r="S6" s="7">
        <f t="shared" si="1"/>
        <v>1.381912879967776</v>
      </c>
      <c r="T6" s="26"/>
    </row>
    <row r="7" spans="1:20" ht="20" customHeight="1" x14ac:dyDescent="0.35">
      <c r="A7" s="2">
        <v>6</v>
      </c>
      <c r="B7" s="2" t="s">
        <v>26</v>
      </c>
      <c r="C7" s="23">
        <v>3</v>
      </c>
      <c r="D7" s="23">
        <v>2</v>
      </c>
      <c r="E7" s="23">
        <v>3</v>
      </c>
      <c r="F7" s="23">
        <v>2</v>
      </c>
      <c r="G7" s="23">
        <v>3</v>
      </c>
      <c r="H7" s="23">
        <v>2</v>
      </c>
      <c r="I7" s="23">
        <v>3</v>
      </c>
      <c r="J7" s="23">
        <v>2</v>
      </c>
      <c r="K7" s="23">
        <v>3</v>
      </c>
      <c r="L7" s="2">
        <v>2</v>
      </c>
      <c r="M7" s="2">
        <v>3</v>
      </c>
      <c r="N7" s="2">
        <v>2</v>
      </c>
      <c r="O7" s="2">
        <v>2</v>
      </c>
      <c r="P7" s="2">
        <v>3</v>
      </c>
      <c r="Q7" s="2">
        <v>2</v>
      </c>
      <c r="R7" s="24">
        <f t="shared" si="0"/>
        <v>559872</v>
      </c>
      <c r="S7" s="7">
        <f t="shared" si="1"/>
        <v>2.416606373547677</v>
      </c>
      <c r="T7" s="26"/>
    </row>
    <row r="8" spans="1:20" ht="20" customHeight="1" x14ac:dyDescent="0.35">
      <c r="A8" s="2">
        <v>7</v>
      </c>
      <c r="B8" s="2" t="s">
        <v>27</v>
      </c>
      <c r="C8" s="22">
        <v>4</v>
      </c>
      <c r="D8" s="22">
        <v>3</v>
      </c>
      <c r="E8" s="22">
        <v>4</v>
      </c>
      <c r="F8" s="22">
        <v>4</v>
      </c>
      <c r="G8" s="22">
        <v>3</v>
      </c>
      <c r="H8" s="22">
        <v>4</v>
      </c>
      <c r="I8" s="22">
        <v>3</v>
      </c>
      <c r="J8" s="22">
        <v>4</v>
      </c>
      <c r="K8" s="22">
        <v>4</v>
      </c>
      <c r="L8" s="2">
        <v>3</v>
      </c>
      <c r="M8" s="2">
        <v>4</v>
      </c>
      <c r="N8" s="2">
        <v>3</v>
      </c>
      <c r="O8" s="2">
        <v>4</v>
      </c>
      <c r="P8" s="2">
        <v>4</v>
      </c>
      <c r="Q8" s="2">
        <v>3</v>
      </c>
      <c r="R8" s="24">
        <f t="shared" si="0"/>
        <v>191102976</v>
      </c>
      <c r="S8" s="7">
        <f t="shared" si="1"/>
        <v>3.5652049159320072</v>
      </c>
      <c r="T8" s="26"/>
    </row>
    <row r="9" spans="1:20" ht="20" customHeight="1" x14ac:dyDescent="0.35">
      <c r="A9" s="2">
        <v>8</v>
      </c>
      <c r="B9" s="2" t="s">
        <v>28</v>
      </c>
      <c r="C9" s="23">
        <v>2</v>
      </c>
      <c r="D9" s="23">
        <v>2</v>
      </c>
      <c r="E9" s="23">
        <v>1</v>
      </c>
      <c r="F9" s="23">
        <v>2</v>
      </c>
      <c r="G9" s="23">
        <v>2</v>
      </c>
      <c r="H9" s="23">
        <v>1</v>
      </c>
      <c r="I9" s="23">
        <v>2</v>
      </c>
      <c r="J9" s="23">
        <v>2</v>
      </c>
      <c r="K9" s="23">
        <v>1</v>
      </c>
      <c r="L9" s="2">
        <v>2</v>
      </c>
      <c r="M9" s="2">
        <v>2</v>
      </c>
      <c r="N9" s="2">
        <v>1</v>
      </c>
      <c r="O9" s="2">
        <v>2</v>
      </c>
      <c r="P9" s="2">
        <v>2</v>
      </c>
      <c r="Q9" s="2">
        <v>1</v>
      </c>
      <c r="R9" s="24">
        <f t="shared" si="0"/>
        <v>1024</v>
      </c>
      <c r="S9" s="7">
        <f t="shared" si="1"/>
        <v>1.5874010519681994</v>
      </c>
      <c r="T9" s="26"/>
    </row>
    <row r="10" spans="1:20" ht="20" customHeight="1" x14ac:dyDescent="0.35">
      <c r="A10" s="2">
        <v>9</v>
      </c>
      <c r="B10" s="2" t="s">
        <v>29</v>
      </c>
      <c r="C10" s="22">
        <v>3</v>
      </c>
      <c r="D10" s="22">
        <v>2</v>
      </c>
      <c r="E10" s="22">
        <v>3</v>
      </c>
      <c r="F10" s="22">
        <v>2</v>
      </c>
      <c r="G10" s="22">
        <v>3</v>
      </c>
      <c r="H10" s="22">
        <v>2</v>
      </c>
      <c r="I10" s="22">
        <v>2</v>
      </c>
      <c r="J10" s="22">
        <v>3</v>
      </c>
      <c r="K10" s="22">
        <v>2</v>
      </c>
      <c r="L10" s="2">
        <v>3</v>
      </c>
      <c r="M10" s="2">
        <v>2</v>
      </c>
      <c r="N10" s="2">
        <v>3</v>
      </c>
      <c r="O10" s="2">
        <v>2</v>
      </c>
      <c r="P10" s="2">
        <v>3</v>
      </c>
      <c r="Q10" s="2">
        <v>2</v>
      </c>
      <c r="R10" s="24">
        <f t="shared" si="0"/>
        <v>559872</v>
      </c>
      <c r="S10" s="7">
        <f t="shared" si="1"/>
        <v>2.416606373547677</v>
      </c>
      <c r="T10" s="26"/>
    </row>
    <row r="11" spans="1:20" ht="20" customHeight="1" x14ac:dyDescent="0.35">
      <c r="A11" s="2">
        <v>10</v>
      </c>
      <c r="B11" s="2" t="s">
        <v>30</v>
      </c>
      <c r="C11" s="23">
        <v>2</v>
      </c>
      <c r="D11" s="23">
        <v>1</v>
      </c>
      <c r="E11" s="23">
        <v>2</v>
      </c>
      <c r="F11" s="23">
        <v>1</v>
      </c>
      <c r="G11" s="23">
        <v>2</v>
      </c>
      <c r="H11" s="23">
        <v>1</v>
      </c>
      <c r="I11" s="23">
        <v>2</v>
      </c>
      <c r="J11" s="23">
        <v>1</v>
      </c>
      <c r="K11" s="23">
        <v>2</v>
      </c>
      <c r="L11" s="2">
        <v>1</v>
      </c>
      <c r="M11" s="2">
        <v>2</v>
      </c>
      <c r="N11" s="2">
        <v>1</v>
      </c>
      <c r="O11" s="2">
        <v>2</v>
      </c>
      <c r="P11" s="2">
        <v>1</v>
      </c>
      <c r="Q11" s="2">
        <v>2</v>
      </c>
      <c r="R11" s="24">
        <f t="shared" si="0"/>
        <v>256</v>
      </c>
      <c r="S11" s="7">
        <f t="shared" si="1"/>
        <v>1.4472692374403779</v>
      </c>
      <c r="T11" s="26"/>
    </row>
    <row r="12" spans="1:20" x14ac:dyDescent="0.35">
      <c r="R12" s="21"/>
    </row>
    <row r="13" spans="1:20" x14ac:dyDescent="0.35">
      <c r="R13" s="21"/>
    </row>
    <row r="14" spans="1:20" x14ac:dyDescent="0.35">
      <c r="R14" s="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A8BBA-C777-4C0A-B19E-C611E01A8A0C}">
  <dimension ref="A1:J40"/>
  <sheetViews>
    <sheetView tabSelected="1" zoomScale="104" workbookViewId="0">
      <selection activeCell="H8" sqref="H8"/>
    </sheetView>
  </sheetViews>
  <sheetFormatPr defaultRowHeight="14.5" x14ac:dyDescent="0.35"/>
  <cols>
    <col min="1" max="1" width="11.6328125" customWidth="1"/>
    <col min="2" max="2" width="14" customWidth="1"/>
    <col min="3" max="6" width="13" customWidth="1"/>
    <col min="7" max="7" width="10.90625" customWidth="1"/>
    <col min="8" max="8" width="15.90625" customWidth="1"/>
  </cols>
  <sheetData>
    <row r="1" spans="1:10" x14ac:dyDescent="0.35">
      <c r="A1" s="1" t="s">
        <v>0</v>
      </c>
      <c r="B1" s="1"/>
      <c r="C1" s="1"/>
      <c r="D1" s="1"/>
      <c r="E1" s="1"/>
      <c r="F1" s="1"/>
    </row>
    <row r="2" spans="1:10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4"/>
      <c r="H2" s="2" t="s">
        <v>7</v>
      </c>
      <c r="I2" s="5"/>
    </row>
    <row r="3" spans="1:10" x14ac:dyDescent="0.35">
      <c r="A3" s="2" t="s">
        <v>2</v>
      </c>
      <c r="B3" s="2">
        <v>1</v>
      </c>
      <c r="C3" s="25">
        <v>1.8378000000000001</v>
      </c>
      <c r="D3" s="29">
        <v>2.4165999999999999</v>
      </c>
      <c r="E3" s="29">
        <v>4.3734000000000002</v>
      </c>
      <c r="F3" s="29">
        <v>5.5106000000000002</v>
      </c>
      <c r="G3" s="4"/>
      <c r="H3" s="2">
        <v>5</v>
      </c>
      <c r="I3" s="27"/>
      <c r="J3" s="28"/>
    </row>
    <row r="4" spans="1:10" x14ac:dyDescent="0.35">
      <c r="A4" s="2" t="s">
        <v>3</v>
      </c>
      <c r="B4" s="6">
        <f>1/C3</f>
        <v>0.54412884971161168</v>
      </c>
      <c r="C4" s="2">
        <v>1</v>
      </c>
      <c r="D4" s="29">
        <v>1.3818999999999999</v>
      </c>
      <c r="E4" s="29">
        <v>2.4165999999999999</v>
      </c>
      <c r="F4" s="29">
        <v>3.5651999999999999</v>
      </c>
      <c r="G4" s="4"/>
      <c r="H4" s="5"/>
      <c r="I4" s="27"/>
      <c r="J4" s="28"/>
    </row>
    <row r="5" spans="1:10" x14ac:dyDescent="0.35">
      <c r="A5" s="2" t="s">
        <v>4</v>
      </c>
      <c r="B5" s="6">
        <f>1/D3</f>
        <v>0.41380451874534474</v>
      </c>
      <c r="C5" s="6">
        <f>1/D4</f>
        <v>0.72364136334032858</v>
      </c>
      <c r="D5" s="2">
        <v>1</v>
      </c>
      <c r="E5" s="29">
        <v>1.5873999999999999</v>
      </c>
      <c r="F5" s="29">
        <v>2.4165999999999999</v>
      </c>
      <c r="G5" s="4"/>
      <c r="H5" s="5"/>
      <c r="I5" s="27"/>
      <c r="J5" s="28"/>
    </row>
    <row r="6" spans="1:10" x14ac:dyDescent="0.35">
      <c r="A6" s="2" t="s">
        <v>5</v>
      </c>
      <c r="B6" s="6">
        <f>1/E3</f>
        <v>0.22865505099007635</v>
      </c>
      <c r="C6" s="6">
        <f>1/E4</f>
        <v>0.41380451874534474</v>
      </c>
      <c r="D6" s="6">
        <f>1/E5</f>
        <v>0.62996094242156986</v>
      </c>
      <c r="E6" s="2">
        <v>1</v>
      </c>
      <c r="F6" s="29">
        <v>1.4471000000000001</v>
      </c>
      <c r="G6" s="4"/>
      <c r="H6" s="5"/>
      <c r="I6" s="27"/>
      <c r="J6" s="28"/>
    </row>
    <row r="7" spans="1:10" x14ac:dyDescent="0.35">
      <c r="A7" s="2" t="s">
        <v>6</v>
      </c>
      <c r="B7" s="6">
        <f>1/F3</f>
        <v>0.18146844263782527</v>
      </c>
      <c r="C7" s="6">
        <f>1/F4</f>
        <v>0.28048917311791766</v>
      </c>
      <c r="D7" s="6">
        <f>1/F5</f>
        <v>0.41380451874534474</v>
      </c>
      <c r="E7" s="6">
        <f>1/F6</f>
        <v>0.69103724690760826</v>
      </c>
      <c r="F7" s="2">
        <v>1</v>
      </c>
      <c r="G7" s="4"/>
      <c r="H7" s="5"/>
      <c r="I7" s="27"/>
      <c r="J7" s="28"/>
    </row>
    <row r="8" spans="1:10" x14ac:dyDescent="0.35">
      <c r="A8" s="2" t="s">
        <v>8</v>
      </c>
      <c r="B8" s="2">
        <f>SUM(B3:B7)</f>
        <v>2.3680568620848579</v>
      </c>
      <c r="C8" s="2">
        <f t="shared" ref="C8:F8" si="0">SUM(C3:C7)</f>
        <v>4.2557350552035915</v>
      </c>
      <c r="D8" s="2">
        <f t="shared" si="0"/>
        <v>5.8422654611669138</v>
      </c>
      <c r="E8" s="2">
        <f t="shared" si="0"/>
        <v>10.068437246907608</v>
      </c>
      <c r="F8" s="2">
        <f t="shared" si="0"/>
        <v>13.939500000000001</v>
      </c>
      <c r="G8" s="4"/>
      <c r="H8" s="5"/>
      <c r="I8" s="27"/>
      <c r="J8" s="28"/>
    </row>
    <row r="9" spans="1:10" x14ac:dyDescent="0.35">
      <c r="I9" s="27"/>
      <c r="J9" s="28"/>
    </row>
    <row r="10" spans="1:10" x14ac:dyDescent="0.35">
      <c r="I10" s="27"/>
      <c r="J10" s="28"/>
    </row>
    <row r="11" spans="1:10" x14ac:dyDescent="0.35">
      <c r="A11" s="18" t="s">
        <v>9</v>
      </c>
      <c r="B11" s="18"/>
      <c r="C11" s="18"/>
      <c r="D11" s="18"/>
      <c r="E11" s="18"/>
      <c r="F11" s="18"/>
      <c r="G11" s="18"/>
      <c r="H11" s="18"/>
      <c r="I11" s="27"/>
      <c r="J11" s="28"/>
    </row>
    <row r="12" spans="1:10" x14ac:dyDescent="0.35">
      <c r="A12" s="2" t="s">
        <v>1</v>
      </c>
      <c r="B12" s="2" t="s">
        <v>2</v>
      </c>
      <c r="C12" s="2" t="s">
        <v>3</v>
      </c>
      <c r="D12" s="2" t="s">
        <v>4</v>
      </c>
      <c r="E12" s="2" t="s">
        <v>5</v>
      </c>
      <c r="F12" s="2" t="s">
        <v>6</v>
      </c>
      <c r="G12" s="2" t="s">
        <v>8</v>
      </c>
      <c r="H12" s="2" t="s">
        <v>10</v>
      </c>
      <c r="I12" s="27"/>
      <c r="J12" s="28"/>
    </row>
    <row r="13" spans="1:10" x14ac:dyDescent="0.35">
      <c r="A13" s="2" t="s">
        <v>2</v>
      </c>
      <c r="B13" s="2">
        <f>B3/B8</f>
        <v>0.42228715704047382</v>
      </c>
      <c r="C13" s="2">
        <f t="shared" ref="C13:F13" si="1">C3/C8</f>
        <v>0.4318407927563247</v>
      </c>
      <c r="D13" s="2">
        <f t="shared" si="1"/>
        <v>0.41364090968870776</v>
      </c>
      <c r="E13" s="2">
        <f t="shared" si="1"/>
        <v>0.43436730971762616</v>
      </c>
      <c r="F13" s="2">
        <f t="shared" si="1"/>
        <v>0.39532264428422825</v>
      </c>
      <c r="G13" s="7">
        <f>SUM(B13:F13)</f>
        <v>2.0974588134873606</v>
      </c>
      <c r="H13" s="7">
        <f>G13/5</f>
        <v>0.41949176269747213</v>
      </c>
      <c r="J13" s="11"/>
    </row>
    <row r="14" spans="1:10" x14ac:dyDescent="0.35">
      <c r="A14" s="2" t="s">
        <v>3</v>
      </c>
      <c r="B14" s="2">
        <f>B4/B8</f>
        <v>0.22977862500841972</v>
      </c>
      <c r="C14" s="2">
        <f t="shared" ref="C14:F14" si="2">C4/C8</f>
        <v>0.23497703382104942</v>
      </c>
      <c r="D14" s="2">
        <f t="shared" si="2"/>
        <v>0.23653495535000629</v>
      </c>
      <c r="E14" s="2">
        <f t="shared" si="2"/>
        <v>0.24001738708181625</v>
      </c>
      <c r="F14" s="2">
        <f t="shared" si="2"/>
        <v>0.25576240180781229</v>
      </c>
      <c r="G14" s="7">
        <f t="shared" ref="G14:G17" si="3">SUM(B14:F14)</f>
        <v>1.1970704030691039</v>
      </c>
      <c r="H14" s="7">
        <f>G14/5</f>
        <v>0.2394140806138208</v>
      </c>
      <c r="J14" s="17"/>
    </row>
    <row r="15" spans="1:10" x14ac:dyDescent="0.35">
      <c r="A15" s="2" t="s">
        <v>4</v>
      </c>
      <c r="B15" s="2">
        <f>B5/B8</f>
        <v>0.17474433379147308</v>
      </c>
      <c r="C15" s="2">
        <f t="shared" ref="C15:F15" si="4">C5/C8</f>
        <v>0.17003910110793072</v>
      </c>
      <c r="D15" s="2">
        <f t="shared" si="4"/>
        <v>0.1711664775671223</v>
      </c>
      <c r="E15" s="2">
        <f t="shared" si="4"/>
        <v>0.15766101144321573</v>
      </c>
      <c r="F15" s="2">
        <f t="shared" si="4"/>
        <v>0.17336346353886437</v>
      </c>
      <c r="G15" s="7">
        <f t="shared" si="3"/>
        <v>0.8469743874486062</v>
      </c>
      <c r="H15" s="7">
        <f>G15/5</f>
        <v>0.16939487748972124</v>
      </c>
      <c r="J15" s="11"/>
    </row>
    <row r="16" spans="1:10" x14ac:dyDescent="0.35">
      <c r="A16" s="2" t="s">
        <v>5</v>
      </c>
      <c r="B16" s="2">
        <f>B6/B8</f>
        <v>9.6558091425543918E-2</v>
      </c>
      <c r="C16" s="2">
        <f t="shared" ref="C16:F16" si="5">C6/C8</f>
        <v>9.7234558396527962E-2</v>
      </c>
      <c r="D16" s="2">
        <f t="shared" si="5"/>
        <v>0.10782819551916487</v>
      </c>
      <c r="E16" s="2">
        <f t="shared" si="5"/>
        <v>9.9320279351906099E-2</v>
      </c>
      <c r="F16" s="2">
        <f t="shared" si="5"/>
        <v>0.10381290577136913</v>
      </c>
      <c r="G16" s="7">
        <f t="shared" si="3"/>
        <v>0.50475403046451206</v>
      </c>
      <c r="H16" s="7">
        <f>G16/5</f>
        <v>0.10095080609290241</v>
      </c>
    </row>
    <row r="17" spans="1:8" x14ac:dyDescent="0.35">
      <c r="A17" s="2" t="s">
        <v>6</v>
      </c>
      <c r="B17" s="2">
        <f>B7/B8</f>
        <v>7.6631792734089529E-2</v>
      </c>
      <c r="C17" s="2">
        <f t="shared" ref="C17:F17" si="6">C7/C8</f>
        <v>6.5908513918167128E-2</v>
      </c>
      <c r="D17" s="2">
        <f t="shared" si="6"/>
        <v>7.0829461874998889E-2</v>
      </c>
      <c r="E17" s="2">
        <f t="shared" si="6"/>
        <v>6.8634012405435763E-2</v>
      </c>
      <c r="F17" s="2">
        <f t="shared" si="6"/>
        <v>7.1738584597725877E-2</v>
      </c>
      <c r="G17" s="7">
        <f t="shared" si="3"/>
        <v>0.35374236553041716</v>
      </c>
      <c r="H17" s="8">
        <f>G17/5</f>
        <v>7.0748473106083426E-2</v>
      </c>
    </row>
    <row r="18" spans="1:8" x14ac:dyDescent="0.35">
      <c r="A18" s="5"/>
      <c r="B18" s="5"/>
      <c r="C18" s="5"/>
      <c r="D18" s="5"/>
      <c r="E18" s="5"/>
      <c r="F18" s="5"/>
      <c r="H18" s="9">
        <f>SUM(H13:H17)</f>
        <v>1</v>
      </c>
    </row>
    <row r="19" spans="1:8" x14ac:dyDescent="0.35">
      <c r="A19" s="5"/>
      <c r="B19" s="5"/>
      <c r="C19" s="5"/>
      <c r="D19" s="5"/>
      <c r="E19" s="5"/>
      <c r="F19" s="5"/>
    </row>
    <row r="20" spans="1:8" x14ac:dyDescent="0.35">
      <c r="A20" s="18" t="s">
        <v>11</v>
      </c>
      <c r="B20" s="18"/>
      <c r="C20" s="18"/>
      <c r="D20" s="18"/>
      <c r="E20" s="18"/>
      <c r="F20" s="18"/>
      <c r="G20" s="18"/>
    </row>
    <row r="21" spans="1:8" x14ac:dyDescent="0.35">
      <c r="A21" s="2" t="s">
        <v>1</v>
      </c>
      <c r="B21" s="2" t="s">
        <v>2</v>
      </c>
      <c r="C21" s="2" t="s">
        <v>3</v>
      </c>
      <c r="D21" s="2" t="s">
        <v>4</v>
      </c>
      <c r="E21" s="2" t="s">
        <v>5</v>
      </c>
      <c r="F21" s="2" t="s">
        <v>6</v>
      </c>
      <c r="G21" s="2" t="s">
        <v>8</v>
      </c>
    </row>
    <row r="22" spans="1:8" x14ac:dyDescent="0.35">
      <c r="A22" s="2" t="s">
        <v>2</v>
      </c>
      <c r="B22" s="2">
        <f>H13*B3</f>
        <v>0.41949176269747213</v>
      </c>
      <c r="C22" s="2">
        <f>H14*C3</f>
        <v>0.43999519735207987</v>
      </c>
      <c r="D22" s="2">
        <f>H15*D3</f>
        <v>0.40935966094166032</v>
      </c>
      <c r="E22" s="2">
        <f>H16*E3</f>
        <v>0.4414982553666994</v>
      </c>
      <c r="F22" s="2">
        <f>H17*F3</f>
        <v>0.38986653589838333</v>
      </c>
      <c r="G22" s="10">
        <f>SUM(B22:F22)</f>
        <v>2.1002114122562952</v>
      </c>
    </row>
    <row r="23" spans="1:8" x14ac:dyDescent="0.35">
      <c r="A23" s="2" t="s">
        <v>3</v>
      </c>
      <c r="B23" s="2">
        <f>H13*B4</f>
        <v>0.22825757030007188</v>
      </c>
      <c r="C23" s="2">
        <f>H14*C4</f>
        <v>0.2394140806138208</v>
      </c>
      <c r="D23" s="2">
        <f>H15*D4</f>
        <v>0.23408678120304577</v>
      </c>
      <c r="E23" s="2">
        <f>H16*E4</f>
        <v>0.24395771800410795</v>
      </c>
      <c r="F23" s="2">
        <f>H17*F4</f>
        <v>0.25223245631780861</v>
      </c>
      <c r="G23" s="10">
        <f t="shared" ref="G23:G26" si="7">SUM(B23:F23)</f>
        <v>1.1979486064388549</v>
      </c>
    </row>
    <row r="24" spans="1:8" x14ac:dyDescent="0.35">
      <c r="A24" s="2" t="s">
        <v>4</v>
      </c>
      <c r="B24" s="2">
        <f>H13*B5</f>
        <v>0.17358758698066382</v>
      </c>
      <c r="C24" s="2">
        <f>H14*C5</f>
        <v>0.17324993169825662</v>
      </c>
      <c r="D24" s="2">
        <f>H15*D5</f>
        <v>0.16939487748972124</v>
      </c>
      <c r="E24" s="2">
        <f>H16*E5</f>
        <v>0.16024930959187328</v>
      </c>
      <c r="F24" s="2">
        <f>H17*F5</f>
        <v>0.1709707601081612</v>
      </c>
      <c r="G24" s="10">
        <f t="shared" si="7"/>
        <v>0.84745246586867617</v>
      </c>
    </row>
    <row r="25" spans="1:8" x14ac:dyDescent="0.35">
      <c r="A25" s="2" t="s">
        <v>5</v>
      </c>
      <c r="B25" s="2">
        <f>H13*B6</f>
        <v>9.5918910389507492E-2</v>
      </c>
      <c r="C25" s="2">
        <f>H14*C6</f>
        <v>9.9070628409261285E-2</v>
      </c>
      <c r="D25" s="2">
        <f>H15*D6</f>
        <v>0.10671215666481115</v>
      </c>
      <c r="E25" s="2">
        <f>H16*E6</f>
        <v>0.10095080609290241</v>
      </c>
      <c r="F25" s="2">
        <f>H17*F6</f>
        <v>0.10238011543181333</v>
      </c>
      <c r="G25" s="10">
        <f t="shared" si="7"/>
        <v>0.50503261698829571</v>
      </c>
    </row>
    <row r="26" spans="1:8" x14ac:dyDescent="0.35">
      <c r="A26" s="2" t="s">
        <v>6</v>
      </c>
      <c r="B26" s="2">
        <f>H13*B7</f>
        <v>7.6124516876106427E-2</v>
      </c>
      <c r="C26" s="2">
        <f>H14*C7</f>
        <v>6.7153057504157079E-2</v>
      </c>
      <c r="D26" s="2">
        <f>H15*D7</f>
        <v>7.009636575756073E-2</v>
      </c>
      <c r="E26" s="2">
        <f>H16*E7</f>
        <v>6.976076711554309E-2</v>
      </c>
      <c r="F26" s="2">
        <f>H17*F7</f>
        <v>7.0748473106083426E-2</v>
      </c>
      <c r="G26" s="10">
        <f t="shared" si="7"/>
        <v>0.35388318035945077</v>
      </c>
    </row>
    <row r="29" spans="1:8" x14ac:dyDescent="0.35">
      <c r="A29" s="18" t="s">
        <v>12</v>
      </c>
      <c r="B29" s="18"/>
      <c r="C29" s="18"/>
      <c r="D29" s="18"/>
      <c r="E29" s="11"/>
      <c r="F29" s="11"/>
      <c r="G29" s="11"/>
    </row>
    <row r="30" spans="1:8" x14ac:dyDescent="0.35">
      <c r="A30" s="7" t="s">
        <v>1</v>
      </c>
      <c r="B30" s="7" t="s">
        <v>13</v>
      </c>
      <c r="C30" s="7" t="s">
        <v>10</v>
      </c>
      <c r="D30" s="7" t="s">
        <v>14</v>
      </c>
    </row>
    <row r="31" spans="1:8" x14ac:dyDescent="0.35">
      <c r="A31" s="2" t="s">
        <v>2</v>
      </c>
      <c r="B31" s="10">
        <f>SUM(B22:F22)</f>
        <v>2.1002114122562952</v>
      </c>
      <c r="C31" s="13">
        <f>G13/5</f>
        <v>0.41949176269747213</v>
      </c>
      <c r="D31" s="7">
        <f>B31/C31</f>
        <v>5.0065617468892221</v>
      </c>
    </row>
    <row r="32" spans="1:8" x14ac:dyDescent="0.35">
      <c r="A32" s="2" t="s">
        <v>3</v>
      </c>
      <c r="B32" s="10">
        <f>SUM(B23:F23)</f>
        <v>1.1979486064388549</v>
      </c>
      <c r="C32" s="13">
        <f>G14/5</f>
        <v>0.2394140806138208</v>
      </c>
      <c r="D32" s="7">
        <f t="shared" ref="D32:D35" si="8">B32/C32</f>
        <v>5.0036681358402122</v>
      </c>
    </row>
    <row r="33" spans="1:5" x14ac:dyDescent="0.35">
      <c r="A33" s="2" t="s">
        <v>4</v>
      </c>
      <c r="B33" s="10">
        <f>SUM(B24:F24)</f>
        <v>0.84745246586867617</v>
      </c>
      <c r="C33" s="13">
        <f>G15/5</f>
        <v>0.16939487748972124</v>
      </c>
      <c r="D33" s="7">
        <f t="shared" si="8"/>
        <v>5.0028222720022866</v>
      </c>
      <c r="E33" s="14"/>
    </row>
    <row r="34" spans="1:5" x14ac:dyDescent="0.35">
      <c r="A34" s="2" t="s">
        <v>5</v>
      </c>
      <c r="B34" s="10">
        <f>SUM(B25:F25)</f>
        <v>0.50503261698829571</v>
      </c>
      <c r="C34" s="13">
        <f>G16/5</f>
        <v>0.10095080609290241</v>
      </c>
      <c r="D34" s="7">
        <f t="shared" si="8"/>
        <v>5.0027596265405476</v>
      </c>
    </row>
    <row r="35" spans="1:5" x14ac:dyDescent="0.35">
      <c r="A35" s="2" t="s">
        <v>6</v>
      </c>
      <c r="B35" s="10">
        <f>SUM(B26:F26)</f>
        <v>0.35388318035945077</v>
      </c>
      <c r="C35" s="13">
        <f>G17/5</f>
        <v>7.0748473106083426E-2</v>
      </c>
      <c r="D35" s="7">
        <f t="shared" si="8"/>
        <v>5.0019903585597172</v>
      </c>
    </row>
    <row r="36" spans="1:5" x14ac:dyDescent="0.35">
      <c r="A36" s="19" t="s">
        <v>8</v>
      </c>
      <c r="B36" s="20"/>
      <c r="C36" s="15">
        <f>SUM(C31:C35)</f>
        <v>1</v>
      </c>
      <c r="D36" s="7">
        <f>SUM(D31:D35)</f>
        <v>25.017802139831986</v>
      </c>
    </row>
    <row r="38" spans="1:5" x14ac:dyDescent="0.35">
      <c r="A38" s="12" t="s">
        <v>15</v>
      </c>
      <c r="B38" s="12">
        <f>D36/5</f>
        <v>5.0035604279663968</v>
      </c>
    </row>
    <row r="39" spans="1:5" x14ac:dyDescent="0.35">
      <c r="A39" s="12" t="s">
        <v>16</v>
      </c>
      <c r="B39" s="12">
        <f>(B38 - 5) / 4</f>
        <v>8.9010699159919326E-4</v>
      </c>
    </row>
    <row r="40" spans="1:5" x14ac:dyDescent="0.35">
      <c r="A40" s="12" t="s">
        <v>17</v>
      </c>
      <c r="B40" s="12">
        <f>B39/1.12</f>
        <v>7.9473838535642246E-4</v>
      </c>
    </row>
  </sheetData>
  <mergeCells count="4">
    <mergeCell ref="A11:H11"/>
    <mergeCell ref="A20:G20"/>
    <mergeCell ref="A29:D29"/>
    <mergeCell ref="A36:B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Rincian Responden</vt:lpstr>
      <vt:lpstr>Normalisasi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dcterms:created xsi:type="dcterms:W3CDTF">2026-09-28T04:11:13Z</dcterms:created>
  <dcterms:modified xsi:type="dcterms:W3CDTF">2026-10-04T08:32:23Z</dcterms:modified>
</cp:coreProperties>
</file>